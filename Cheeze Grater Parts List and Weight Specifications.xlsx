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<sst xmlns="http://schemas.openxmlformats.org/spreadsheetml/2006/main" count="54" uniqueCount="50">
  <si>
    <t>Part</t>
  </si>
  <si>
    <t>Weight (lbs)</t>
  </si>
  <si>
    <t>Walls + Bottom</t>
  </si>
  <si>
    <t>Wedge</t>
  </si>
  <si>
    <t xml:space="preserve">Chassis Total Weight (Top, Sides, Mounts, Axle, Bottom, Wedge): 1.026 lbs </t>
  </si>
  <si>
    <t>Spinner + Axle</t>
  </si>
  <si>
    <t>Spinner Mounts</t>
  </si>
  <si>
    <t>Top</t>
  </si>
  <si>
    <t>Drive Motor Mounts (x2)</t>
  </si>
  <si>
    <t>Wheels (x2)</t>
  </si>
  <si>
    <t>(0.1375 per wheel)</t>
  </si>
  <si>
    <t>Wheel d: 2.75'', w: 1"</t>
  </si>
  <si>
    <t>Drive Motor (x2)</t>
  </si>
  <si>
    <t>(0.1335 per motor)</t>
  </si>
  <si>
    <t>6-7 Days</t>
  </si>
  <si>
    <t>Battery: 2 x 1.1 x 0.5 inches</t>
  </si>
  <si>
    <t xml:space="preserve">Battery </t>
  </si>
  <si>
    <t>Mount: 0.03875</t>
  </si>
  <si>
    <t>ESC: 0.04875</t>
  </si>
  <si>
    <t>8 days</t>
  </si>
  <si>
    <t>Weapon esc: 59mm x 31mm x 17mm</t>
  </si>
  <si>
    <r>
      <rPr>
        <color rgb="FF1155CC"/>
        <u/>
      </rPr>
      <t xml:space="preserve"> Spinner Motor/Mount + ESC</t>
    </r>
    <r>
      <rPr/>
      <t xml:space="preserve"> (select weapon lock as well)</t>
    </r>
  </si>
  <si>
    <t>Motor: 0.2175</t>
  </si>
  <si>
    <t>Receiver: 1.394 x 1.1654 x 0.5118 in</t>
  </si>
  <si>
    <t>Screws</t>
  </si>
  <si>
    <t>14 M2.5x12(top, bot), 4 M2.5x20(wedge)</t>
  </si>
  <si>
    <t>Estimate weight: 0.33pd*14/200 = 0.023</t>
  </si>
  <si>
    <t>Drive esc: 0.91 x 0.83 x 0.24 in</t>
  </si>
  <si>
    <t>Mini Power Switch</t>
  </si>
  <si>
    <t>Drive Motor: l: 53.4 mm d: 22 mm</t>
  </si>
  <si>
    <t>Flysky 4 Chan, Orange RX 4 Chan (Receiver)</t>
  </si>
  <si>
    <t>Drive ESC (x2)</t>
  </si>
  <si>
    <t>0.015 per esc</t>
  </si>
  <si>
    <t>Wheel Hub (x2)</t>
  </si>
  <si>
    <t>0.0375 per shaft</t>
  </si>
  <si>
    <t>5905K22 Needle Bearing</t>
  </si>
  <si>
    <t>0.012 per bearing</t>
  </si>
  <si>
    <t xml:space="preserve">Total: </t>
  </si>
  <si>
    <t>38T Pulley</t>
  </si>
  <si>
    <r>
      <rPr/>
      <t>Other (</t>
    </r>
    <r>
      <rPr>
        <color rgb="FF1155CC"/>
        <u/>
      </rPr>
      <t>Wires</t>
    </r>
    <r>
      <rPr/>
      <t xml:space="preserve">, </t>
    </r>
    <r>
      <rPr>
        <color rgb="FF1155CC"/>
        <u/>
      </rPr>
      <t>Battery Discharger</t>
    </r>
    <r>
      <rPr/>
      <t>)</t>
    </r>
  </si>
  <si>
    <t>zip ties</t>
  </si>
  <si>
    <t>Total Weight</t>
  </si>
  <si>
    <t>Final Costs:</t>
  </si>
  <si>
    <r>
      <rPr>
        <color rgb="FF1155CC"/>
        <u/>
      </rPr>
      <t>Wheels (x2)</t>
    </r>
    <r>
      <rPr/>
      <t xml:space="preserve"> + </t>
    </r>
    <r>
      <rPr>
        <color rgb="FF1155CC"/>
        <u/>
      </rPr>
      <t>Wheel Hub (x2)</t>
    </r>
  </si>
  <si>
    <r>
      <rPr>
        <color rgb="FF1155CC"/>
        <u/>
      </rPr>
      <t xml:space="preserve"> Spinner Motor/Mount + ESC</t>
    </r>
    <r>
      <rPr/>
      <t xml:space="preserve"> + Weapon Clamp</t>
    </r>
  </si>
  <si>
    <r>
      <rPr>
        <rFont val="Calibri, sans-serif"/>
        <color rgb="FF1155CC"/>
        <sz val="11.0"/>
        <u/>
      </rPr>
      <t>Drive ESC (x2)</t>
    </r>
    <r>
      <rPr>
        <rFont val="Calibri, sans-serif"/>
        <sz val="11.0"/>
      </rPr>
      <t>+</t>
    </r>
    <r>
      <rPr>
        <rFont val="Calibri, sans-serif"/>
        <color rgb="FF1155CC"/>
        <sz val="11.0"/>
        <u/>
      </rPr>
      <t xml:space="preserve">Battery </t>
    </r>
    <r>
      <rPr>
        <rFont val="Calibri, sans-serif"/>
        <sz val="11.0"/>
      </rPr>
      <t xml:space="preserve"> (Amazon)</t>
    </r>
  </si>
  <si>
    <t>Wires</t>
  </si>
  <si>
    <t>Registration</t>
  </si>
  <si>
    <t>Chassis + weapon</t>
  </si>
  <si>
    <t>38T Timing Pulley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</si>
</sst>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color rgb="FF000000"/>
      <name val="Arial"/>
    </font>
    <font>
      <color rgb="FFBF9000"/>
      <name val="Arial"/>
      <scheme val="minor"/>
    </font>
    <font>
      <u/>
      <sz val="11.0"/>
      <color rgb="FF0000FF"/>
      <name val="Calibri"/>
    </font>
    <font>
      <u/>
      <sz val="11.0"/>
      <color rgb="FF0000FF"/>
      <name val="Calibri"/>
    </font>
    <font>
      <color rgb="FF000000"/>
      <name val="Arial"/>
      <scheme val="minor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horizontal="right" readingOrder="0"/>
    </xf>
    <xf borderId="0" fillId="0" fontId="1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3" fontId="7" numFmtId="0" xfId="0" applyAlignment="1" applyFont="1">
      <alignment horizontal="left"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8" numFmtId="164" xfId="0" applyAlignment="1" applyFont="1" applyNumberFormat="1">
      <alignment readingOrder="0"/>
    </xf>
    <xf borderId="0" fillId="0" fontId="9" numFmtId="164" xfId="0" applyAlignment="1" applyFont="1" applyNumberFormat="1">
      <alignment readingOrder="0"/>
    </xf>
    <xf borderId="0" fillId="0" fontId="8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palmbeachbots.com/products/fingertech-s3m-timing-pulley-38t?_pos=6&amp;_sid=4aa2145fe&amp;_ss=r" TargetMode="External"/><Relationship Id="rId11" Type="http://schemas.openxmlformats.org/officeDocument/2006/relationships/hyperlink" Target="https://palmbeachbots.com/products/fingertech-s3m-timing-pulley-38t?_pos=1&amp;_sid=ceb4f5f7e&amp;_ss=r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www.mcmaster.com/catalog/130/1420/5905K22" TargetMode="External"/><Relationship Id="rId21" Type="http://schemas.openxmlformats.org/officeDocument/2006/relationships/hyperlink" Target="https://www.amazon.com/Kindroufly-Pieces-Button-Washers-Assortment/dp/B0BLCG5VS6/ref=sr_1_1_sspa?crid=2IV7YN5D85ADB&amp;keywords=m2.5x10%2Bscrews&amp;qid=1703052256&amp;sprefix=m2.510%2Bscrews%2Caps%2C167&amp;sr=8-1-spons&amp;sp_csd=d2lkZ2V0TmFtZT1zcF9hdGY&amp;th=1" TargetMode="External"/><Relationship Id="rId13" Type="http://schemas.openxmlformats.org/officeDocument/2006/relationships/hyperlink" Target="https://banebots.com/banebots-wheel-2-7-8-x-0-8-hub-mount-30a-green/" TargetMode="External"/><Relationship Id="rId12" Type="http://schemas.openxmlformats.org/officeDocument/2006/relationships/hyperlink" Target="https://www.amazon.com/Pairs-Female-Connector-Silicone-Battery/dp/B07C5KJX24/ref=asc_df_B07C5KJX24/?tag=hyprod-20&amp;linkCode=df0&amp;hvadid=646540113046&amp;hvpos=&amp;hvnetw=g&amp;hvrand=753057255737616863&amp;hvpone=&amp;hvptwo=&amp;hvqmt=&amp;hvdev=c&amp;hvdvcmdl=&amp;hvlocint=&amp;hvlocphy=1027028&amp;hvtargid=pla-1646150793790&amp;psc=1&amp;mcid=61de43900f643c519977834f9888c8f8" TargetMode="External"/><Relationship Id="rId1" Type="http://schemas.openxmlformats.org/officeDocument/2006/relationships/hyperlink" Target="https://banebots.com/banebots-wheel-2-7-8-x-0-8-hub-mount-30a-green/" TargetMode="External"/><Relationship Id="rId2" Type="http://schemas.openxmlformats.org/officeDocument/2006/relationships/hyperlink" Target="https://shop.bristolbotbuilders.com/product/22mm/" TargetMode="External"/><Relationship Id="rId3" Type="http://schemas.openxmlformats.org/officeDocument/2006/relationships/hyperlink" Target="https://www.amazon.com/TATTU-Battery-650mAh-Torrent-Lizard/dp/B071GBGBB4/ref=psdc_2234134011_t2_B0714GN73V?th=1" TargetMode="External"/><Relationship Id="rId4" Type="http://schemas.openxmlformats.org/officeDocument/2006/relationships/hyperlink" Target="https://palmbeachbots.com/products/fingertech-3lb-beater-bar-electronics" TargetMode="External"/><Relationship Id="rId9" Type="http://schemas.openxmlformats.org/officeDocument/2006/relationships/hyperlink" Target="https://banebots.com/t81-hub-4mm-shaft/" TargetMode="External"/><Relationship Id="rId15" Type="http://schemas.openxmlformats.org/officeDocument/2006/relationships/hyperlink" Target="https://palmbeachbots.com/products/fingertech-3lb-beater-bar-electronics" TargetMode="External"/><Relationship Id="rId14" Type="http://schemas.openxmlformats.org/officeDocument/2006/relationships/hyperlink" Target="https://shop.bristolbotbuilders.com/product/22mm/" TargetMode="External"/><Relationship Id="rId17" Type="http://schemas.openxmlformats.org/officeDocument/2006/relationships/hyperlink" Target="https://palmbeachbots.com/products/repeat-robotics-dual-brushed-esc-for-ant-drive?_pos=1&amp;_sid=8d0133701&amp;_ss=r" TargetMode="External"/><Relationship Id="rId16" Type="http://schemas.openxmlformats.org/officeDocument/2006/relationships/hyperlink" Target="https://hobbymatehobby.com/products/flysky-4ch-receiver-fs-ia4b" TargetMode="External"/><Relationship Id="rId5" Type="http://schemas.openxmlformats.org/officeDocument/2006/relationships/hyperlink" Target="https://www.amazon.com/Kindroufly-Pieces-Button-Washers-Assortment/dp/B0BLCG5VS6/ref=sr_1_1_sspa?crid=2IV7YN5D85ADB&amp;keywords=m2.5x10%2Bscrews&amp;qid=1703052256&amp;sprefix=m2.510%2Bscrews%2Caps%2C167&amp;sr=8-1-spons&amp;sp_csd=d2lkZ2V0TmFtZT1zcF9hdGY&amp;th=1" TargetMode="External"/><Relationship Id="rId19" Type="http://schemas.openxmlformats.org/officeDocument/2006/relationships/hyperlink" Target="https://www.mcmaster.com/catalog/130/1420/5905K22" TargetMode="External"/><Relationship Id="rId6" Type="http://schemas.openxmlformats.org/officeDocument/2006/relationships/hyperlink" Target="https://www.fingertechrobotics.com/proddetail.php?prod=ft-mini-switch" TargetMode="External"/><Relationship Id="rId18" Type="http://schemas.openxmlformats.org/officeDocument/2006/relationships/hyperlink" Target="https://www.amazon.com/Pairs-Female-Connector-Silicone-Battery/dp/B07C5KJX24/ref=asc_df_B07C5KJX24/?tag=hyprod-20&amp;linkCode=df0&amp;hvadid=646540113046&amp;hvpos=&amp;hvnetw=g&amp;hvrand=753057255737616863&amp;hvpone=&amp;hvptwo=&amp;hvqmt=&amp;hvdev=c&amp;hvdvcmdl=&amp;hvlocint=&amp;hvlocphy=1027028&amp;hvtargid=pla-1646150793790&amp;psc=1&amp;mcid=61de43900f643c519977834f9888c8f8" TargetMode="External"/><Relationship Id="rId7" Type="http://schemas.openxmlformats.org/officeDocument/2006/relationships/hyperlink" Target="https://hobbymatehobby.com/products/flysky-4ch-receiver-fs-ia4b" TargetMode="External"/><Relationship Id="rId8" Type="http://schemas.openxmlformats.org/officeDocument/2006/relationships/hyperlink" Target="https://repeat-robotics.com/buy/des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</cols>
  <sheetData>
    <row r="1">
      <c r="A1" s="1" t="s">
        <v>0</v>
      </c>
      <c r="B1" s="1" t="s">
        <v>1</v>
      </c>
    </row>
    <row r="2">
      <c r="A2" s="2" t="s">
        <v>2</v>
      </c>
      <c r="B2" s="1">
        <v>0.587</v>
      </c>
      <c r="C2" s="3"/>
    </row>
    <row r="3">
      <c r="A3" s="2" t="s">
        <v>3</v>
      </c>
      <c r="B3" s="1">
        <v>0.187</v>
      </c>
      <c r="C3" s="3"/>
      <c r="E3" s="1" t="s">
        <v>4</v>
      </c>
    </row>
    <row r="4">
      <c r="A4" s="2" t="s">
        <v>5</v>
      </c>
      <c r="B4" s="1">
        <v>0.608</v>
      </c>
      <c r="C4" s="3"/>
    </row>
    <row r="5">
      <c r="A5" s="2" t="s">
        <v>6</v>
      </c>
      <c r="B5" s="1">
        <v>0.06</v>
      </c>
      <c r="C5" s="3"/>
    </row>
    <row r="6">
      <c r="A6" s="2" t="s">
        <v>7</v>
      </c>
      <c r="B6" s="1">
        <v>0.128</v>
      </c>
    </row>
    <row r="7">
      <c r="A7" s="2" t="s">
        <v>8</v>
      </c>
      <c r="B7" s="1">
        <v>0.022</v>
      </c>
    </row>
    <row r="8">
      <c r="A8" s="4" t="s">
        <v>9</v>
      </c>
      <c r="B8" s="5">
        <v>0.275</v>
      </c>
      <c r="C8" s="1" t="s">
        <v>10</v>
      </c>
      <c r="G8" s="6">
        <v>7.0</v>
      </c>
      <c r="H8" s="1" t="s">
        <v>11</v>
      </c>
    </row>
    <row r="9">
      <c r="A9" s="4" t="s">
        <v>12</v>
      </c>
      <c r="B9" s="1">
        <v>0.267</v>
      </c>
      <c r="C9" s="1" t="s">
        <v>13</v>
      </c>
      <c r="F9" s="7" t="s">
        <v>14</v>
      </c>
      <c r="G9" s="6">
        <v>42.9</v>
      </c>
      <c r="H9" s="1" t="s">
        <v>15</v>
      </c>
    </row>
    <row r="10">
      <c r="A10" s="4" t="s">
        <v>16</v>
      </c>
      <c r="B10" s="1">
        <v>5.0</v>
      </c>
      <c r="D10" s="1" t="s">
        <v>17</v>
      </c>
      <c r="E10" s="1" t="s">
        <v>18</v>
      </c>
      <c r="F10" s="7" t="s">
        <v>19</v>
      </c>
      <c r="G10" s="6">
        <v>7.13</v>
      </c>
      <c r="H10" s="1" t="s">
        <v>20</v>
      </c>
    </row>
    <row r="11">
      <c r="A11" s="4" t="s">
        <v>21</v>
      </c>
      <c r="B11" s="1">
        <v>0.305</v>
      </c>
      <c r="C11" s="1" t="s">
        <v>22</v>
      </c>
      <c r="G11" s="6">
        <v>52.49</v>
      </c>
      <c r="H11" s="1" t="s">
        <v>23</v>
      </c>
    </row>
    <row r="12">
      <c r="A12" s="4" t="s">
        <v>24</v>
      </c>
      <c r="B12" s="1">
        <v>0.023</v>
      </c>
      <c r="C12" s="1" t="s">
        <v>25</v>
      </c>
      <c r="E12" s="1" t="s">
        <v>26</v>
      </c>
      <c r="G12" s="6">
        <v>11.69</v>
      </c>
      <c r="H12" s="1" t="s">
        <v>27</v>
      </c>
    </row>
    <row r="13">
      <c r="A13" s="8" t="s">
        <v>28</v>
      </c>
      <c r="B13" s="1">
        <v>0.00475</v>
      </c>
      <c r="G13" s="6">
        <v>7.23</v>
      </c>
      <c r="H13" s="1" t="s">
        <v>29</v>
      </c>
    </row>
    <row r="14">
      <c r="A14" s="9" t="s">
        <v>30</v>
      </c>
      <c r="B14" s="1">
        <v>0.022046</v>
      </c>
      <c r="F14" s="1"/>
      <c r="G14" s="6">
        <v>9.9</v>
      </c>
    </row>
    <row r="15">
      <c r="A15" s="8" t="s">
        <v>31</v>
      </c>
      <c r="B15" s="1">
        <v>0.03</v>
      </c>
      <c r="C15" s="1" t="s">
        <v>32</v>
      </c>
      <c r="G15" s="6">
        <v>15.98</v>
      </c>
    </row>
    <row r="16">
      <c r="A16" s="4" t="s">
        <v>33</v>
      </c>
      <c r="B16" s="1">
        <v>0.075</v>
      </c>
      <c r="C16" s="1" t="s">
        <v>34</v>
      </c>
      <c r="G16" s="6">
        <v>9.0</v>
      </c>
    </row>
    <row r="17">
      <c r="A17" s="4" t="s">
        <v>35</v>
      </c>
      <c r="B17" s="1">
        <v>0.024</v>
      </c>
      <c r="C17" s="1" t="s">
        <v>36</v>
      </c>
      <c r="G17" s="1" t="s">
        <v>37</v>
      </c>
    </row>
    <row r="18">
      <c r="A18" s="4" t="s">
        <v>38</v>
      </c>
      <c r="B18" s="1">
        <v>0.0456</v>
      </c>
      <c r="G18" s="10">
        <f>SUM(G2:G17)</f>
        <v>163.32</v>
      </c>
    </row>
    <row r="19">
      <c r="A19" s="4" t="s">
        <v>39</v>
      </c>
    </row>
    <row r="20">
      <c r="A20" s="11" t="s">
        <v>40</v>
      </c>
      <c r="K20" s="5"/>
    </row>
    <row r="21">
      <c r="A21" s="12" t="s">
        <v>41</v>
      </c>
      <c r="B21" s="3">
        <f>SUM(B2:B20)</f>
        <v>7.663396</v>
      </c>
    </row>
    <row r="22">
      <c r="E22" s="5">
        <v>0.275</v>
      </c>
    </row>
    <row r="23">
      <c r="E23" s="1">
        <v>0.267</v>
      </c>
    </row>
    <row r="24">
      <c r="B24" s="1" t="s">
        <v>42</v>
      </c>
      <c r="E24" s="1">
        <v>0.11464</v>
      </c>
    </row>
    <row r="25">
      <c r="A25" s="4" t="s">
        <v>43</v>
      </c>
      <c r="B25" s="6">
        <v>25.8</v>
      </c>
      <c r="E25" s="1">
        <v>0.305</v>
      </c>
    </row>
    <row r="26">
      <c r="A26" s="4" t="s">
        <v>12</v>
      </c>
      <c r="B26" s="13">
        <v>59.8</v>
      </c>
      <c r="E26" s="1">
        <v>0.00475</v>
      </c>
    </row>
    <row r="27">
      <c r="A27" s="4" t="s">
        <v>44</v>
      </c>
      <c r="B27" s="13">
        <v>62.22</v>
      </c>
      <c r="E27" s="1">
        <v>0.022046</v>
      </c>
    </row>
    <row r="28">
      <c r="A28" s="9" t="s">
        <v>30</v>
      </c>
      <c r="B28" s="13">
        <v>14.96</v>
      </c>
      <c r="E28" s="1">
        <v>0.03</v>
      </c>
    </row>
    <row r="29">
      <c r="A29" s="8" t="s">
        <v>45</v>
      </c>
      <c r="B29" s="14">
        <v>48.29</v>
      </c>
      <c r="E29" s="1">
        <v>0.075</v>
      </c>
    </row>
    <row r="30">
      <c r="A30" s="4" t="s">
        <v>46</v>
      </c>
      <c r="B30" s="13">
        <v>12.74</v>
      </c>
      <c r="E30" s="1">
        <v>0.024</v>
      </c>
    </row>
    <row r="31">
      <c r="A31" s="1" t="s">
        <v>47</v>
      </c>
      <c r="B31" s="13">
        <v>25.0</v>
      </c>
      <c r="E31" s="1">
        <v>0.0456</v>
      </c>
    </row>
    <row r="32">
      <c r="A32" s="4" t="s">
        <v>35</v>
      </c>
      <c r="B32" s="13">
        <v>24.12</v>
      </c>
      <c r="E32" s="10">
        <f>SUM(E22:E31)</f>
        <v>1.163036</v>
      </c>
      <c r="F32" s="1" t="s">
        <v>48</v>
      </c>
    </row>
    <row r="33">
      <c r="A33" s="4" t="s">
        <v>49</v>
      </c>
      <c r="B33" s="13">
        <v>11.96</v>
      </c>
      <c r="F33" s="1">
        <v>1.613</v>
      </c>
    </row>
    <row r="34">
      <c r="A34" s="4" t="s">
        <v>24</v>
      </c>
      <c r="B34" s="6">
        <v>11.69</v>
      </c>
      <c r="F34" s="10">
        <f>SUM(E32,F33)</f>
        <v>2.776036</v>
      </c>
    </row>
    <row r="35">
      <c r="B35" s="15">
        <f>SUM(B25:B34)</f>
        <v>296.58</v>
      </c>
    </row>
  </sheetData>
  <hyperlinks>
    <hyperlink r:id="rId1" ref="A8"/>
    <hyperlink r:id="rId2" ref="A9"/>
    <hyperlink r:id="rId3" ref="A10"/>
    <hyperlink r:id="rId4" ref="A11"/>
    <hyperlink r:id="rId5" ref="A12"/>
    <hyperlink r:id="rId6" ref="A13"/>
    <hyperlink r:id="rId7" ref="A14"/>
    <hyperlink r:id="rId8" ref="A15"/>
    <hyperlink r:id="rId9" ref="A16"/>
    <hyperlink r:id="rId10" ref="A17"/>
    <hyperlink r:id="rId11" ref="A18"/>
    <hyperlink r:id="rId12" ref="A19"/>
    <hyperlink r:id="rId13" ref="A25"/>
    <hyperlink r:id="rId14" ref="A26"/>
    <hyperlink r:id="rId15" ref="A27"/>
    <hyperlink r:id="rId16" ref="A28"/>
    <hyperlink r:id="rId17" ref="A29"/>
    <hyperlink r:id="rId18" ref="A30"/>
    <hyperlink r:id="rId19" ref="A32"/>
    <hyperlink r:id="rId20" ref="A33"/>
    <hyperlink r:id="rId21" ref="A34"/>
  </hyperlinks>
  <drawing r:id="rId22"/>
</worksheet>
</file>